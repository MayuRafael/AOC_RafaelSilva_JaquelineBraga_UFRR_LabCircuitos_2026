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o" sheetId="1" state="visible" r:id="rId1"/>
    <sheet xmlns:r="http://schemas.openxmlformats.org/officeDocument/2006/relationships" name="teste_confli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9" customWidth="1" min="4" max="4"/>
    <col width="9" customWidth="1" min="5" max="5"/>
    <col width="13" customWidth="1" min="6" max="6"/>
    <col width="13" customWidth="1" min="7" max="7"/>
    <col width="24" customWidth="1" min="8" max="8"/>
    <col width="11" customWidth="1" min="9" max="9"/>
    <col width="13" customWidth="1" min="10" max="10"/>
    <col width="12" customWidth="1" min="11" max="11"/>
  </cols>
  <sheetData>
    <row r="1">
      <c r="A1" s="1" t="inlineStr">
        <is>
          <t>acesso</t>
        </is>
      </c>
      <c r="B1" s="1" t="inlineStr">
        <is>
          <t>endereco_hex</t>
        </is>
      </c>
      <c r="C1" s="1" t="inlineStr">
        <is>
          <t>endereco_bin</t>
        </is>
      </c>
      <c r="D1" s="1" t="inlineStr">
        <is>
          <t>rotulo</t>
        </is>
      </c>
      <c r="E1" s="1" t="inlineStr">
        <is>
          <t>indice</t>
        </is>
      </c>
      <c r="F1" s="1" t="inlineStr">
        <is>
          <t>deslocamento</t>
        </is>
      </c>
      <c r="G1" s="1" t="inlineStr">
        <is>
          <t>valido_antes</t>
        </is>
      </c>
      <c r="H1" s="1" t="inlineStr">
        <is>
          <t>rotulo_armazenado_antes</t>
        </is>
      </c>
      <c r="I1" s="1" t="inlineStr">
        <is>
          <t>resultado</t>
        </is>
      </c>
      <c r="J1" s="1" t="inlineStr">
        <is>
          <t>tipo_falta</t>
        </is>
      </c>
      <c r="K1" s="1" t="inlineStr">
        <is>
          <t>rotulo_apos</t>
        </is>
      </c>
    </row>
    <row r="2">
      <c r="A2" t="n">
        <v>1</v>
      </c>
      <c r="B2" t="inlineStr">
        <is>
          <t>0x00</t>
        </is>
      </c>
      <c r="C2">
        <f>DEC2BIN(HEX2DEC(MID(B2,3,2)),6)</f>
        <v/>
      </c>
      <c r="D2">
        <f>LEFT(C2,3)</f>
        <v/>
      </c>
      <c r="E2">
        <f>MID(C2,4,2)</f>
        <v/>
      </c>
      <c r="F2">
        <f>RIGHT(C2,1)</f>
        <v/>
      </c>
      <c r="G2">
        <f>IF(SUMPRODUCT(--(E$1:E1=E2))&gt;0,1,0)</f>
        <v/>
      </c>
      <c r="H2">
        <f>IF(G2=0,"-",INDEX(K:K,SUMPRODUCT(MAX((E$1:E1=E2)*ROW(E$1:E1)))))</f>
        <v/>
      </c>
      <c r="I2">
        <f>IF(AND(G2=1,H2=D2),"ACERTO","FALTA")</f>
        <v/>
      </c>
      <c r="J2">
        <f>IF(I2="ACERTO","",IF(G2=0,"compulsoria","conflito"))</f>
        <v/>
      </c>
      <c r="K2">
        <f>D2</f>
        <v/>
      </c>
    </row>
    <row r="3">
      <c r="A3" t="n">
        <v>2</v>
      </c>
      <c r="B3" t="inlineStr">
        <is>
          <t>0x01</t>
        </is>
      </c>
      <c r="C3">
        <f>DEC2BIN(HEX2DEC(MID(B3,3,2)),6)</f>
        <v/>
      </c>
      <c r="D3">
        <f>LEFT(C3,3)</f>
        <v/>
      </c>
      <c r="E3">
        <f>MID(C3,4,2)</f>
        <v/>
      </c>
      <c r="F3">
        <f>RIGHT(C3,1)</f>
        <v/>
      </c>
      <c r="G3">
        <f>IF(SUMPRODUCT(--(E$1:E2=E3))&gt;0,1,0)</f>
        <v/>
      </c>
      <c r="H3">
        <f>IF(G3=0,"-",INDEX(K:K,SUMPRODUCT(MAX((E$1:E2=E3)*ROW(E$1:E2)))))</f>
        <v/>
      </c>
      <c r="I3">
        <f>IF(AND(G3=1,H3=D3),"ACERTO","FALTA")</f>
        <v/>
      </c>
      <c r="J3">
        <f>IF(I3="ACERTO","",IF(G3=0,"compulsoria","conflito"))</f>
        <v/>
      </c>
      <c r="K3">
        <f>D3</f>
        <v/>
      </c>
    </row>
    <row r="4">
      <c r="A4" t="n">
        <v>3</v>
      </c>
      <c r="B4" t="inlineStr">
        <is>
          <t>0x02</t>
        </is>
      </c>
      <c r="C4">
        <f>DEC2BIN(HEX2DEC(MID(B4,3,2)),6)</f>
        <v/>
      </c>
      <c r="D4">
        <f>LEFT(C4,3)</f>
        <v/>
      </c>
      <c r="E4">
        <f>MID(C4,4,2)</f>
        <v/>
      </c>
      <c r="F4">
        <f>RIGHT(C4,1)</f>
        <v/>
      </c>
      <c r="G4">
        <f>IF(SUMPRODUCT(--(E$1:E3=E4))&gt;0,1,0)</f>
        <v/>
      </c>
      <c r="H4">
        <f>IF(G4=0,"-",INDEX(K:K,SUMPRODUCT(MAX((E$1:E3=E4)*ROW(E$1:E3)))))</f>
        <v/>
      </c>
      <c r="I4">
        <f>IF(AND(G4=1,H4=D4),"ACERTO","FALTA")</f>
        <v/>
      </c>
      <c r="J4">
        <f>IF(I4="ACERTO","",IF(G4=0,"compulsoria","conflito"))</f>
        <v/>
      </c>
      <c r="K4">
        <f>D4</f>
        <v/>
      </c>
    </row>
    <row r="5">
      <c r="A5" t="n">
        <v>4</v>
      </c>
      <c r="B5" t="inlineStr">
        <is>
          <t>0x03</t>
        </is>
      </c>
      <c r="C5">
        <f>DEC2BIN(HEX2DEC(MID(B5,3,2)),6)</f>
        <v/>
      </c>
      <c r="D5">
        <f>LEFT(C5,3)</f>
        <v/>
      </c>
      <c r="E5">
        <f>MID(C5,4,2)</f>
        <v/>
      </c>
      <c r="F5">
        <f>RIGHT(C5,1)</f>
        <v/>
      </c>
      <c r="G5">
        <f>IF(SUMPRODUCT(--(E$1:E4=E5))&gt;0,1,0)</f>
        <v/>
      </c>
      <c r="H5">
        <f>IF(G5=0,"-",INDEX(K:K,SUMPRODUCT(MAX((E$1:E4=E5)*ROW(E$1:E4)))))</f>
        <v/>
      </c>
      <c r="I5">
        <f>IF(AND(G5=1,H5=D5),"ACERTO","FALTA")</f>
        <v/>
      </c>
      <c r="J5">
        <f>IF(I5="ACERTO","",IF(G5=0,"compulsoria","conflito"))</f>
        <v/>
      </c>
      <c r="K5">
        <f>D5</f>
        <v/>
      </c>
    </row>
    <row r="6">
      <c r="A6" t="n">
        <v>5</v>
      </c>
      <c r="B6" t="inlineStr">
        <is>
          <t>0x00</t>
        </is>
      </c>
      <c r="C6">
        <f>DEC2BIN(HEX2DEC(MID(B6,3,2)),6)</f>
        <v/>
      </c>
      <c r="D6">
        <f>LEFT(C6,3)</f>
        <v/>
      </c>
      <c r="E6">
        <f>MID(C6,4,2)</f>
        <v/>
      </c>
      <c r="F6">
        <f>RIGHT(C6,1)</f>
        <v/>
      </c>
      <c r="G6">
        <f>IF(SUMPRODUCT(--(E$1:E5=E6))&gt;0,1,0)</f>
        <v/>
      </c>
      <c r="H6">
        <f>IF(G6=0,"-",INDEX(K:K,SUMPRODUCT(MAX((E$1:E5=E6)*ROW(E$1:E5)))))</f>
        <v/>
      </c>
      <c r="I6">
        <f>IF(AND(G6=1,H6=D6),"ACERTO","FALTA")</f>
        <v/>
      </c>
      <c r="J6">
        <f>IF(I6="ACERTO","",IF(G6=0,"compulsoria","conflito"))</f>
        <v/>
      </c>
      <c r="K6">
        <f>D6</f>
        <v/>
      </c>
    </row>
    <row r="7">
      <c r="A7" t="n">
        <v>6</v>
      </c>
      <c r="B7" t="inlineStr">
        <is>
          <t>0x20</t>
        </is>
      </c>
      <c r="C7">
        <f>DEC2BIN(HEX2DEC(MID(B7,3,2)),6)</f>
        <v/>
      </c>
      <c r="D7">
        <f>LEFT(C7,3)</f>
        <v/>
      </c>
      <c r="E7">
        <f>MID(C7,4,2)</f>
        <v/>
      </c>
      <c r="F7">
        <f>RIGHT(C7,1)</f>
        <v/>
      </c>
      <c r="G7">
        <f>IF(SUMPRODUCT(--(E$1:E6=E7))&gt;0,1,0)</f>
        <v/>
      </c>
      <c r="H7">
        <f>IF(G7=0,"-",INDEX(K:K,SUMPRODUCT(MAX((E$1:E6=E7)*ROW(E$1:E6)))))</f>
        <v/>
      </c>
      <c r="I7">
        <f>IF(AND(G7=1,H7=D7),"ACERTO","FALTA")</f>
        <v/>
      </c>
      <c r="J7">
        <f>IF(I7="ACERTO","",IF(G7=0,"compulsoria","conflito"))</f>
        <v/>
      </c>
      <c r="K7">
        <f>D7</f>
        <v/>
      </c>
    </row>
    <row r="8">
      <c r="A8" t="n">
        <v>7</v>
      </c>
      <c r="B8" t="inlineStr">
        <is>
          <t>0x21</t>
        </is>
      </c>
      <c r="C8">
        <f>DEC2BIN(HEX2DEC(MID(B8,3,2)),6)</f>
        <v/>
      </c>
      <c r="D8">
        <f>LEFT(C8,3)</f>
        <v/>
      </c>
      <c r="E8">
        <f>MID(C8,4,2)</f>
        <v/>
      </c>
      <c r="F8">
        <f>RIGHT(C8,1)</f>
        <v/>
      </c>
      <c r="G8">
        <f>IF(SUMPRODUCT(--(E$1:E7=E8))&gt;0,1,0)</f>
        <v/>
      </c>
      <c r="H8">
        <f>IF(G8=0,"-",INDEX(K:K,SUMPRODUCT(MAX((E$1:E7=E8)*ROW(E$1:E7)))))</f>
        <v/>
      </c>
      <c r="I8">
        <f>IF(AND(G8=1,H8=D8),"ACERTO","FALTA")</f>
        <v/>
      </c>
      <c r="J8">
        <f>IF(I8="ACERTO","",IF(G8=0,"compulsoria","conflito"))</f>
        <v/>
      </c>
      <c r="K8">
        <f>D8</f>
        <v/>
      </c>
    </row>
    <row r="9">
      <c r="A9" t="n">
        <v>8</v>
      </c>
      <c r="B9" t="inlineStr">
        <is>
          <t>0x00</t>
        </is>
      </c>
      <c r="C9">
        <f>DEC2BIN(HEX2DEC(MID(B9,3,2)),6)</f>
        <v/>
      </c>
      <c r="D9">
        <f>LEFT(C9,3)</f>
        <v/>
      </c>
      <c r="E9">
        <f>MID(C9,4,2)</f>
        <v/>
      </c>
      <c r="F9">
        <f>RIGHT(C9,1)</f>
        <v/>
      </c>
      <c r="G9">
        <f>IF(SUMPRODUCT(--(E$1:E8=E9))&gt;0,1,0)</f>
        <v/>
      </c>
      <c r="H9">
        <f>IF(G9=0,"-",INDEX(K:K,SUMPRODUCT(MAX((E$1:E8=E9)*ROW(E$1:E8)))))</f>
        <v/>
      </c>
      <c r="I9">
        <f>IF(AND(G9=1,H9=D9),"ACERTO","FALTA")</f>
        <v/>
      </c>
      <c r="J9">
        <f>IF(I9="ACERTO","",IF(G9=0,"compulsoria","conflito"))</f>
        <v/>
      </c>
      <c r="K9">
        <f>D9</f>
        <v/>
      </c>
    </row>
    <row r="10">
      <c r="A10" t="n">
        <v>9</v>
      </c>
      <c r="B10" t="inlineStr">
        <is>
          <t>0x04</t>
        </is>
      </c>
      <c r="C10">
        <f>DEC2BIN(HEX2DEC(MID(B10,3,2)),6)</f>
        <v/>
      </c>
      <c r="D10">
        <f>LEFT(C10,3)</f>
        <v/>
      </c>
      <c r="E10">
        <f>MID(C10,4,2)</f>
        <v/>
      </c>
      <c r="F10">
        <f>RIGHT(C10,1)</f>
        <v/>
      </c>
      <c r="G10">
        <f>IF(SUMPRODUCT(--(E$1:E9=E10))&gt;0,1,0)</f>
        <v/>
      </c>
      <c r="H10">
        <f>IF(G10=0,"-",INDEX(K:K,SUMPRODUCT(MAX((E$1:E9=E10)*ROW(E$1:E9)))))</f>
        <v/>
      </c>
      <c r="I10">
        <f>IF(AND(G10=1,H10=D10),"ACERTO","FALTA")</f>
        <v/>
      </c>
      <c r="J10">
        <f>IF(I10="ACERTO","",IF(G10=0,"compulsoria","conflito"))</f>
        <v/>
      </c>
      <c r="K10">
        <f>D10</f>
        <v/>
      </c>
    </row>
    <row r="11">
      <c r="A11" t="n">
        <v>10</v>
      </c>
      <c r="B11" t="inlineStr">
        <is>
          <t>0x05</t>
        </is>
      </c>
      <c r="C11">
        <f>DEC2BIN(HEX2DEC(MID(B11,3,2)),6)</f>
        <v/>
      </c>
      <c r="D11">
        <f>LEFT(C11,3)</f>
        <v/>
      </c>
      <c r="E11">
        <f>MID(C11,4,2)</f>
        <v/>
      </c>
      <c r="F11">
        <f>RIGHT(C11,1)</f>
        <v/>
      </c>
      <c r="G11">
        <f>IF(SUMPRODUCT(--(E$1:E10=E11))&gt;0,1,0)</f>
        <v/>
      </c>
      <c r="H11">
        <f>IF(G11=0,"-",INDEX(K:K,SUMPRODUCT(MAX((E$1:E10=E11)*ROW(E$1:E10)))))</f>
        <v/>
      </c>
      <c r="I11">
        <f>IF(AND(G11=1,H11=D11),"ACERTO","FALTA")</f>
        <v/>
      </c>
      <c r="J11">
        <f>IF(I11="ACERTO","",IF(G11=0,"compulsoria","conflito"))</f>
        <v/>
      </c>
      <c r="K11">
        <f>D11</f>
        <v/>
      </c>
    </row>
    <row r="12">
      <c r="A12" t="n">
        <v>11</v>
      </c>
      <c r="B12" t="inlineStr">
        <is>
          <t>0x06</t>
        </is>
      </c>
      <c r="C12">
        <f>DEC2BIN(HEX2DEC(MID(B12,3,2)),6)</f>
        <v/>
      </c>
      <c r="D12">
        <f>LEFT(C12,3)</f>
        <v/>
      </c>
      <c r="E12">
        <f>MID(C12,4,2)</f>
        <v/>
      </c>
      <c r="F12">
        <f>RIGHT(C12,1)</f>
        <v/>
      </c>
      <c r="G12">
        <f>IF(SUMPRODUCT(--(E$1:E11=E12))&gt;0,1,0)</f>
        <v/>
      </c>
      <c r="H12">
        <f>IF(G12=0,"-",INDEX(K:K,SUMPRODUCT(MAX((E$1:E11=E12)*ROW(E$1:E11)))))</f>
        <v/>
      </c>
      <c r="I12">
        <f>IF(AND(G12=1,H12=D12),"ACERTO","FALTA")</f>
        <v/>
      </c>
      <c r="J12">
        <f>IF(I12="ACERTO","",IF(G12=0,"compulsoria","conflito"))</f>
        <v/>
      </c>
      <c r="K12">
        <f>D12</f>
        <v/>
      </c>
    </row>
    <row r="13">
      <c r="A13" t="n">
        <v>12</v>
      </c>
      <c r="B13" t="inlineStr">
        <is>
          <t>0x07</t>
        </is>
      </c>
      <c r="C13">
        <f>DEC2BIN(HEX2DEC(MID(B13,3,2)),6)</f>
        <v/>
      </c>
      <c r="D13">
        <f>LEFT(C13,3)</f>
        <v/>
      </c>
      <c r="E13">
        <f>MID(C13,4,2)</f>
        <v/>
      </c>
      <c r="F13">
        <f>RIGHT(C13,1)</f>
        <v/>
      </c>
      <c r="G13">
        <f>IF(SUMPRODUCT(--(E$1:E12=E13))&gt;0,1,0)</f>
        <v/>
      </c>
      <c r="H13">
        <f>IF(G13=0,"-",INDEX(K:K,SUMPRODUCT(MAX((E$1:E12=E13)*ROW(E$1:E12)))))</f>
        <v/>
      </c>
      <c r="I13">
        <f>IF(AND(G13=1,H13=D13),"ACERTO","FALTA")</f>
        <v/>
      </c>
      <c r="J13">
        <f>IF(I13="ACERTO","",IF(G13=0,"compulsoria","conflito"))</f>
        <v/>
      </c>
      <c r="K13">
        <f>D13</f>
        <v/>
      </c>
    </row>
    <row r="14">
      <c r="A14" t="n">
        <v>13</v>
      </c>
      <c r="B14" t="inlineStr">
        <is>
          <t>0x22</t>
        </is>
      </c>
      <c r="C14">
        <f>DEC2BIN(HEX2DEC(MID(B14,3,2)),6)</f>
        <v/>
      </c>
      <c r="D14">
        <f>LEFT(C14,3)</f>
        <v/>
      </c>
      <c r="E14">
        <f>MID(C14,4,2)</f>
        <v/>
      </c>
      <c r="F14">
        <f>RIGHT(C14,1)</f>
        <v/>
      </c>
      <c r="G14">
        <f>IF(SUMPRODUCT(--(E$1:E13=E14))&gt;0,1,0)</f>
        <v/>
      </c>
      <c r="H14">
        <f>IF(G14=0,"-",INDEX(K:K,SUMPRODUCT(MAX((E$1:E13=E14)*ROW(E$1:E13)))))</f>
        <v/>
      </c>
      <c r="I14">
        <f>IF(AND(G14=1,H14=D14),"ACERTO","FALTA")</f>
        <v/>
      </c>
      <c r="J14">
        <f>IF(I14="ACERTO","",IF(G14=0,"compulsoria","conflito"))</f>
        <v/>
      </c>
      <c r="K14">
        <f>D14</f>
        <v/>
      </c>
    </row>
    <row r="15">
      <c r="A15" t="n">
        <v>14</v>
      </c>
      <c r="B15" t="inlineStr">
        <is>
          <t>0x23</t>
        </is>
      </c>
      <c r="C15">
        <f>DEC2BIN(HEX2DEC(MID(B15,3,2)),6)</f>
        <v/>
      </c>
      <c r="D15">
        <f>LEFT(C15,3)</f>
        <v/>
      </c>
      <c r="E15">
        <f>MID(C15,4,2)</f>
        <v/>
      </c>
      <c r="F15">
        <f>RIGHT(C15,1)</f>
        <v/>
      </c>
      <c r="G15">
        <f>IF(SUMPRODUCT(--(E$1:E14=E15))&gt;0,1,0)</f>
        <v/>
      </c>
      <c r="H15">
        <f>IF(G15=0,"-",INDEX(K:K,SUMPRODUCT(MAX((E$1:E14=E15)*ROW(E$1:E14)))))</f>
        <v/>
      </c>
      <c r="I15">
        <f>IF(AND(G15=1,H15=D15),"ACERTO","FALTA")</f>
        <v/>
      </c>
      <c r="J15">
        <f>IF(I15="ACERTO","",IF(G15=0,"compulsoria","conflito"))</f>
        <v/>
      </c>
      <c r="K15">
        <f>D15</f>
        <v/>
      </c>
    </row>
    <row r="16">
      <c r="A16" t="n">
        <v>15</v>
      </c>
      <c r="B16" t="inlineStr">
        <is>
          <t>0x02</t>
        </is>
      </c>
      <c r="C16">
        <f>DEC2BIN(HEX2DEC(MID(B16,3,2)),6)</f>
        <v/>
      </c>
      <c r="D16">
        <f>LEFT(C16,3)</f>
        <v/>
      </c>
      <c r="E16">
        <f>MID(C16,4,2)</f>
        <v/>
      </c>
      <c r="F16">
        <f>RIGHT(C16,1)</f>
        <v/>
      </c>
      <c r="G16">
        <f>IF(SUMPRODUCT(--(E$1:E15=E16))&gt;0,1,0)</f>
        <v/>
      </c>
      <c r="H16">
        <f>IF(G16=0,"-",INDEX(K:K,SUMPRODUCT(MAX((E$1:E15=E16)*ROW(E$1:E15)))))</f>
        <v/>
      </c>
      <c r="I16">
        <f>IF(AND(G16=1,H16=D16),"ACERTO","FALTA")</f>
        <v/>
      </c>
      <c r="J16">
        <f>IF(I16="ACERTO","",IF(G16=0,"compulsoria","conflito"))</f>
        <v/>
      </c>
      <c r="K16">
        <f>D16</f>
        <v/>
      </c>
    </row>
    <row r="17">
      <c r="A17" t="n">
        <v>16</v>
      </c>
      <c r="B17" t="inlineStr">
        <is>
          <t>0x03</t>
        </is>
      </c>
      <c r="C17">
        <f>DEC2BIN(HEX2DEC(MID(B17,3,2)),6)</f>
        <v/>
      </c>
      <c r="D17">
        <f>LEFT(C17,3)</f>
        <v/>
      </c>
      <c r="E17">
        <f>MID(C17,4,2)</f>
        <v/>
      </c>
      <c r="F17">
        <f>RIGHT(C17,1)</f>
        <v/>
      </c>
      <c r="G17">
        <f>IF(SUMPRODUCT(--(E$1:E16=E17))&gt;0,1,0)</f>
        <v/>
      </c>
      <c r="H17">
        <f>IF(G17=0,"-",INDEX(K:K,SUMPRODUCT(MAX((E$1:E16=E17)*ROW(E$1:E16)))))</f>
        <v/>
      </c>
      <c r="I17">
        <f>IF(AND(G17=1,H17=D17),"ACERTO","FALTA")</f>
        <v/>
      </c>
      <c r="J17">
        <f>IF(I17="ACERTO","",IF(G17=0,"compulsoria","conflito"))</f>
        <v/>
      </c>
      <c r="K17">
        <f>D17</f>
        <v/>
      </c>
    </row>
    <row r="20">
      <c r="A20" s="2" t="inlineStr">
        <is>
          <t>Indicadores (Secao 5.5.2)</t>
        </is>
      </c>
    </row>
    <row r="21">
      <c r="A21" t="inlineStr">
        <is>
          <t>Acertos</t>
        </is>
      </c>
      <c r="B21">
        <f>COUNTIF(I2:I17,"ACERTO")</f>
        <v/>
      </c>
    </row>
    <row r="22">
      <c r="A22" t="inlineStr">
        <is>
          <t>Faltas</t>
        </is>
      </c>
      <c r="B22">
        <f>COUNTIF(I2:I17,"FALTA")</f>
        <v/>
      </c>
    </row>
    <row r="23">
      <c r="A23" t="inlineStr">
        <is>
          <t>Total de acessos</t>
        </is>
      </c>
      <c r="B23">
        <f>COUNTA(B2:B17)</f>
        <v/>
      </c>
    </row>
    <row r="24">
      <c r="A24" t="inlineStr">
        <is>
          <t>Taxa de acertos</t>
        </is>
      </c>
      <c r="B24" s="3">
        <f>B21/B23</f>
        <v/>
      </c>
    </row>
    <row r="25">
      <c r="A25" t="inlineStr">
        <is>
          <t>Taxa de faltas</t>
        </is>
      </c>
      <c r="B25" s="3">
        <f>B22/B23</f>
        <v/>
      </c>
    </row>
    <row r="26">
      <c r="A26" t="inlineStr">
        <is>
          <t>Faltas compulsorias</t>
        </is>
      </c>
      <c r="B26">
        <f>COUNTIF(J2:J17,"compulsoria")</f>
        <v/>
      </c>
    </row>
    <row r="27">
      <c r="A27" t="inlineStr">
        <is>
          <t>Faltas por conflito</t>
        </is>
      </c>
      <c r="B27">
        <f>COUNTIF(J2:J17,"conflito")</f>
        <v/>
      </c>
    </row>
    <row r="28">
      <c r="A28" t="inlineStr">
        <is>
          <t>Tempo de acerto (ciclos)</t>
        </is>
      </c>
      <c r="B28" t="n">
        <v>1</v>
      </c>
    </row>
    <row r="29">
      <c r="A29" t="inlineStr">
        <is>
          <t>Penalidade de falta (ciclos)</t>
        </is>
      </c>
      <c r="B29" t="n">
        <v>8</v>
      </c>
    </row>
    <row r="30">
      <c r="A30" t="inlineStr">
        <is>
          <t>AMAT = acerto + taxa_faltas x penalidade (ciclos)</t>
        </is>
      </c>
      <c r="B30">
        <f>B28+B25*B29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v</t>
        </is>
      </c>
      <c r="B1" s="1" t="inlineStr">
        <is>
          <t>v_bin</t>
        </is>
      </c>
      <c r="C1" s="1" t="inlineStr">
        <is>
          <t>primo</t>
        </is>
      </c>
      <c r="D1" s="1" t="inlineStr">
        <is>
          <t>endereco_dec</t>
        </is>
      </c>
      <c r="E1" s="1" t="inlineStr">
        <is>
          <t>endereco_hex</t>
        </is>
      </c>
      <c r="F1" s="1" t="inlineStr">
        <is>
          <t>endereco_bin</t>
        </is>
      </c>
      <c r="G1" s="1" t="inlineStr">
        <is>
          <t>rotulo</t>
        </is>
      </c>
      <c r="H1" s="1" t="inlineStr">
        <is>
          <t>indice</t>
        </is>
      </c>
      <c r="I1" s="1" t="inlineStr">
        <is>
          <t>valido_antes</t>
        </is>
      </c>
      <c r="J1" s="1" t="inlineStr">
        <is>
          <t>rotulo_antes</t>
        </is>
      </c>
      <c r="K1" s="1" t="inlineStr">
        <is>
          <t>resultado</t>
        </is>
      </c>
    </row>
    <row r="2">
      <c r="A2" t="n">
        <v>0</v>
      </c>
      <c r="B2">
        <f>DEC2BIN(A2,3)</f>
        <v/>
      </c>
      <c r="C2">
        <f>IF(OR(A2=2,A2=3,A2=5,A2=7),1,0)</f>
        <v/>
      </c>
      <c r="D2">
        <f>IF(C2=1,A2*8,"")</f>
        <v/>
      </c>
      <c r="E2">
        <f>IF(C2=1,"0x"&amp;DEC2HEX(D2,2),"")</f>
        <v/>
      </c>
      <c r="F2">
        <f>IF(C2=1,DEC2BIN(D2,6),"")</f>
        <v/>
      </c>
      <c r="G2">
        <f>IF(C2=1,LEFT(F2,3),"")</f>
        <v/>
      </c>
      <c r="H2">
        <f>IF(C2=1,MID(F2,4,2),"")</f>
        <v/>
      </c>
      <c r="I2">
        <f>IF(C2=1,IF(SUMPRODUCT((C$1:C1=1)*(H$1:H1=H2))&gt;0,1,0),"")</f>
        <v/>
      </c>
      <c r="J2">
        <f>IF(C2&lt;&gt;1,"",IF(I2=0,"-",INDEX(G:G,SUMPRODUCT(MAX((C$1:C1=1)*(H$1:H1=H2)*ROW(H$1:H1))))))</f>
        <v/>
      </c>
      <c r="K2">
        <f>IF(C2&lt;&gt;1,"",IF(AND(I2=1,J2=G2),"ACERTO","FALTA"))</f>
        <v/>
      </c>
    </row>
    <row r="3">
      <c r="A3" t="n">
        <v>1</v>
      </c>
      <c r="B3">
        <f>DEC2BIN(A3,3)</f>
        <v/>
      </c>
      <c r="C3">
        <f>IF(OR(A3=2,A3=3,A3=5,A3=7),1,0)</f>
        <v/>
      </c>
      <c r="D3">
        <f>IF(C3=1,A3*8,"")</f>
        <v/>
      </c>
      <c r="E3">
        <f>IF(C3=1,"0x"&amp;DEC2HEX(D3,2),"")</f>
        <v/>
      </c>
      <c r="F3">
        <f>IF(C3=1,DEC2BIN(D3,6),"")</f>
        <v/>
      </c>
      <c r="G3">
        <f>IF(C3=1,LEFT(F3,3),"")</f>
        <v/>
      </c>
      <c r="H3">
        <f>IF(C3=1,MID(F3,4,2),"")</f>
        <v/>
      </c>
      <c r="I3">
        <f>IF(C3=1,IF(SUMPRODUCT((C$1:C2=1)*(H$1:H2=H3))&gt;0,1,0),"")</f>
        <v/>
      </c>
      <c r="J3">
        <f>IF(C3&lt;&gt;1,"",IF(I3=0,"-",INDEX(G:G,SUMPRODUCT(MAX((C$1:C2=1)*(H$1:H2=H3)*ROW(H$1:H2))))))</f>
        <v/>
      </c>
      <c r="K3">
        <f>IF(C3&lt;&gt;1,"",IF(AND(I3=1,J3=G3),"ACERTO","FALTA"))</f>
        <v/>
      </c>
    </row>
    <row r="4">
      <c r="A4" t="n">
        <v>2</v>
      </c>
      <c r="B4">
        <f>DEC2BIN(A4,3)</f>
        <v/>
      </c>
      <c r="C4">
        <f>IF(OR(A4=2,A4=3,A4=5,A4=7),1,0)</f>
        <v/>
      </c>
      <c r="D4">
        <f>IF(C4=1,A4*8,"")</f>
        <v/>
      </c>
      <c r="E4">
        <f>IF(C4=1,"0x"&amp;DEC2HEX(D4,2),"")</f>
        <v/>
      </c>
      <c r="F4">
        <f>IF(C4=1,DEC2BIN(D4,6),"")</f>
        <v/>
      </c>
      <c r="G4">
        <f>IF(C4=1,LEFT(F4,3),"")</f>
        <v/>
      </c>
      <c r="H4">
        <f>IF(C4=1,MID(F4,4,2),"")</f>
        <v/>
      </c>
      <c r="I4">
        <f>IF(C4=1,IF(SUMPRODUCT((C$1:C3=1)*(H$1:H3=H4))&gt;0,1,0),"")</f>
        <v/>
      </c>
      <c r="J4">
        <f>IF(C4&lt;&gt;1,"",IF(I4=0,"-",INDEX(G:G,SUMPRODUCT(MAX((C$1:C3=1)*(H$1:H3=H4)*ROW(H$1:H3))))))</f>
        <v/>
      </c>
      <c r="K4">
        <f>IF(C4&lt;&gt;1,"",IF(AND(I4=1,J4=G4),"ACERTO","FALTA"))</f>
        <v/>
      </c>
    </row>
    <row r="5">
      <c r="A5" t="n">
        <v>3</v>
      </c>
      <c r="B5">
        <f>DEC2BIN(A5,3)</f>
        <v/>
      </c>
      <c r="C5">
        <f>IF(OR(A5=2,A5=3,A5=5,A5=7),1,0)</f>
        <v/>
      </c>
      <c r="D5">
        <f>IF(C5=1,A5*8,"")</f>
        <v/>
      </c>
      <c r="E5">
        <f>IF(C5=1,"0x"&amp;DEC2HEX(D5,2),"")</f>
        <v/>
      </c>
      <c r="F5">
        <f>IF(C5=1,DEC2BIN(D5,6),"")</f>
        <v/>
      </c>
      <c r="G5">
        <f>IF(C5=1,LEFT(F5,3),"")</f>
        <v/>
      </c>
      <c r="H5">
        <f>IF(C5=1,MID(F5,4,2),"")</f>
        <v/>
      </c>
      <c r="I5">
        <f>IF(C5=1,IF(SUMPRODUCT((C$1:C4=1)*(H$1:H4=H5))&gt;0,1,0),"")</f>
        <v/>
      </c>
      <c r="J5">
        <f>IF(C5&lt;&gt;1,"",IF(I5=0,"-",INDEX(G:G,SUMPRODUCT(MAX((C$1:C4=1)*(H$1:H4=H5)*ROW(H$1:H4))))))</f>
        <v/>
      </c>
      <c r="K5">
        <f>IF(C5&lt;&gt;1,"",IF(AND(I5=1,J5=G5),"ACERTO","FALTA"))</f>
        <v/>
      </c>
    </row>
    <row r="6">
      <c r="A6" t="n">
        <v>4</v>
      </c>
      <c r="B6">
        <f>DEC2BIN(A6,3)</f>
        <v/>
      </c>
      <c r="C6">
        <f>IF(OR(A6=2,A6=3,A6=5,A6=7),1,0)</f>
        <v/>
      </c>
      <c r="D6">
        <f>IF(C6=1,A6*8,"")</f>
        <v/>
      </c>
      <c r="E6">
        <f>IF(C6=1,"0x"&amp;DEC2HEX(D6,2),"")</f>
        <v/>
      </c>
      <c r="F6">
        <f>IF(C6=1,DEC2BIN(D6,6),"")</f>
        <v/>
      </c>
      <c r="G6">
        <f>IF(C6=1,LEFT(F6,3),"")</f>
        <v/>
      </c>
      <c r="H6">
        <f>IF(C6=1,MID(F6,4,2),"")</f>
        <v/>
      </c>
      <c r="I6">
        <f>IF(C6=1,IF(SUMPRODUCT((C$1:C5=1)*(H$1:H5=H6))&gt;0,1,0),"")</f>
        <v/>
      </c>
      <c r="J6">
        <f>IF(C6&lt;&gt;1,"",IF(I6=0,"-",INDEX(G:G,SUMPRODUCT(MAX((C$1:C5=1)*(H$1:H5=H6)*ROW(H$1:H5))))))</f>
        <v/>
      </c>
      <c r="K6">
        <f>IF(C6&lt;&gt;1,"",IF(AND(I6=1,J6=G6),"ACERTO","FALTA"))</f>
        <v/>
      </c>
    </row>
    <row r="7">
      <c r="A7" t="n">
        <v>5</v>
      </c>
      <c r="B7">
        <f>DEC2BIN(A7,3)</f>
        <v/>
      </c>
      <c r="C7">
        <f>IF(OR(A7=2,A7=3,A7=5,A7=7),1,0)</f>
        <v/>
      </c>
      <c r="D7">
        <f>IF(C7=1,A7*8,"")</f>
        <v/>
      </c>
      <c r="E7">
        <f>IF(C7=1,"0x"&amp;DEC2HEX(D7,2),"")</f>
        <v/>
      </c>
      <c r="F7">
        <f>IF(C7=1,DEC2BIN(D7,6),"")</f>
        <v/>
      </c>
      <c r="G7">
        <f>IF(C7=1,LEFT(F7,3),"")</f>
        <v/>
      </c>
      <c r="H7">
        <f>IF(C7=1,MID(F7,4,2),"")</f>
        <v/>
      </c>
      <c r="I7">
        <f>IF(C7=1,IF(SUMPRODUCT((C$1:C6=1)*(H$1:H6=H7))&gt;0,1,0),"")</f>
        <v/>
      </c>
      <c r="J7">
        <f>IF(C7&lt;&gt;1,"",IF(I7=0,"-",INDEX(G:G,SUMPRODUCT(MAX((C$1:C6=1)*(H$1:H6=H7)*ROW(H$1:H6))))))</f>
        <v/>
      </c>
      <c r="K7">
        <f>IF(C7&lt;&gt;1,"",IF(AND(I7=1,J7=G7),"ACERTO","FALTA"))</f>
        <v/>
      </c>
    </row>
    <row r="8">
      <c r="A8" t="n">
        <v>6</v>
      </c>
      <c r="B8">
        <f>DEC2BIN(A8,3)</f>
        <v/>
      </c>
      <c r="C8">
        <f>IF(OR(A8=2,A8=3,A8=5,A8=7),1,0)</f>
        <v/>
      </c>
      <c r="D8">
        <f>IF(C8=1,A8*8,"")</f>
        <v/>
      </c>
      <c r="E8">
        <f>IF(C8=1,"0x"&amp;DEC2HEX(D8,2),"")</f>
        <v/>
      </c>
      <c r="F8">
        <f>IF(C8=1,DEC2BIN(D8,6),"")</f>
        <v/>
      </c>
      <c r="G8">
        <f>IF(C8=1,LEFT(F8,3),"")</f>
        <v/>
      </c>
      <c r="H8">
        <f>IF(C8=1,MID(F8,4,2),"")</f>
        <v/>
      </c>
      <c r="I8">
        <f>IF(C8=1,IF(SUMPRODUCT((C$1:C7=1)*(H$1:H7=H8))&gt;0,1,0),"")</f>
        <v/>
      </c>
      <c r="J8">
        <f>IF(C8&lt;&gt;1,"",IF(I8=0,"-",INDEX(G:G,SUMPRODUCT(MAX((C$1:C7=1)*(H$1:H7=H8)*ROW(H$1:H7))))))</f>
        <v/>
      </c>
      <c r="K8">
        <f>IF(C8&lt;&gt;1,"",IF(AND(I8=1,J8=G8),"ACERTO","FALTA"))</f>
        <v/>
      </c>
    </row>
    <row r="9">
      <c r="A9" t="n">
        <v>7</v>
      </c>
      <c r="B9">
        <f>DEC2BIN(A9,3)</f>
        <v/>
      </c>
      <c r="C9">
        <f>IF(OR(A9=2,A9=3,A9=5,A9=7),1,0)</f>
        <v/>
      </c>
      <c r="D9">
        <f>IF(C9=1,A9*8,"")</f>
        <v/>
      </c>
      <c r="E9">
        <f>IF(C9=1,"0x"&amp;DEC2HEX(D9,2),"")</f>
        <v/>
      </c>
      <c r="F9">
        <f>IF(C9=1,DEC2BIN(D9,6),"")</f>
        <v/>
      </c>
      <c r="G9">
        <f>IF(C9=1,LEFT(F9,3),"")</f>
        <v/>
      </c>
      <c r="H9">
        <f>IF(C9=1,MID(F9,4,2),"")</f>
        <v/>
      </c>
      <c r="I9">
        <f>IF(C9=1,IF(SUMPRODUCT((C$1:C8=1)*(H$1:H8=H9))&gt;0,1,0),"")</f>
        <v/>
      </c>
      <c r="J9">
        <f>IF(C9&lt;&gt;1,"",IF(I9=0,"-",INDEX(G:G,SUMPRODUCT(MAX((C$1:C8=1)*(H$1:H8=H9)*ROW(H$1:H8))))))</f>
        <v/>
      </c>
      <c r="K9">
        <f>IF(C9&lt;&gt;1,"",IF(AND(I9=1,J9=G9),"ACERTO","FALTA"))</f>
        <v/>
      </c>
    </row>
    <row r="11">
      <c r="A11" t="inlineStr">
        <is>
          <t>Cache comeca invalidada. v&lt;&lt;3 coloca v em A5..A3 (rotulo) e zera A2..A0 -&gt; indice sempre 00.</t>
        </is>
      </c>
    </row>
    <row r="12">
      <c r="A12" t="inlineStr">
        <is>
          <t>Acertos no teste:</t>
        </is>
      </c>
      <c r="C12">
        <f>COUNTIF(K2:K9,"ACERTO")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2026-09-27T05:21:35Z</dcterms:created>
  <dcterms:modified xmlns:dcterms="http://purl.org/dc/terms/" xmlns:xsi="http://www.w3.org/2001/XMLSchema-instance" xsi:type="dcterms:W3CDTF">2026-09-27T05:21:35Z</dcterms:modified>
</cp:coreProperties>
</file>