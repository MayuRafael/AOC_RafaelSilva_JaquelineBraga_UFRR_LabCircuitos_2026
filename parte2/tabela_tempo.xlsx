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tabela_tempo" sheetId="1" r:id="rId1"/>
    <sheet name="microprogra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<sst xmlns="http://schemas.openxmlformats.org/spreadsheetml/2006/main" count="79" uniqueCount="51">
  <si>
    <t>Estado</t>
  </si>
  <si>
    <t>Codigo</t>
  </si>
  <si>
    <t>PCWrite</t>
  </si>
  <si>
    <t>PCWriteCond</t>
  </si>
  <si>
    <t>PCSource</t>
  </si>
  <si>
    <t>MemRead</t>
  </si>
  <si>
    <t>IRWrite</t>
  </si>
  <si>
    <t>RegWrite</t>
  </si>
  <si>
    <t>ALUSrcA</t>
  </si>
  <si>
    <t>ALUSrcB</t>
  </si>
  <si>
    <t>ALUOp</t>
  </si>
  <si>
    <t>S0 (Busca)</t>
  </si>
  <si>
    <t>000</t>
  </si>
  <si>
    <t>01</t>
  </si>
  <si>
    <t>00</t>
  </si>
  <si>
    <t>S1 (Decod.)</t>
  </si>
  <si>
    <t>001</t>
  </si>
  <si>
    <t>X</t>
  </si>
  <si>
    <t>10</t>
  </si>
  <si>
    <t>S2 (Exec. R)</t>
  </si>
  <si>
    <t>010</t>
  </si>
  <si>
    <t>S3 (Concl. R)</t>
  </si>
  <si>
    <t>011</t>
  </si>
  <si>
    <t>XX</t>
  </si>
  <si>
    <t>S4 (Concl. beq)</t>
  </si>
  <si>
    <t>100</t>
  </si>
  <si>
    <t>Justificativa dos X</t>
  </si>
  <si>
    <t>PCSource em S1, S2, S3:  PCWrite=0 e PCWriteCond=0, entao o PC nao e escrito e a origem do valor nao importa.</t>
  </si>
  <si>
    <t>ALUSrcA, ALUSrcB e ALUOp em S3: o valor a gravar ja esta em ULAOut (calculado em S2); a saida da ULA neste ciclo nao e usada.</t>
  </si>
  <si>
    <t>Ciclos e CPI (Secao 6.5.1)</t>
  </si>
  <si>
    <t>Classe</t>
  </si>
  <si>
    <t>Frequencia</t>
  </si>
  <si>
    <t>Ciclos</t>
  </si>
  <si>
    <t>Freq x Ciclos</t>
  </si>
  <si>
    <t>Tipo-R (S0,S1,S2,S3)</t>
  </si>
  <si>
    <t>beq (S0,S1,S4)</t>
  </si>
  <si>
    <t>CPI medio</t>
  </si>
  <si>
    <t>Rotulo</t>
  </si>
  <si>
    <t>Endereco</t>
  </si>
  <si>
    <t>ULAOp</t>
  </si>
  <si>
    <t>Fonte</t>
  </si>
  <si>
    <t>Acao</t>
  </si>
  <si>
    <t>Seq</t>
  </si>
  <si>
    <t>Binario</t>
  </si>
  <si>
    <t>Hexadecimal</t>
  </si>
  <si>
    <t>Busca</t>
  </si>
  <si>
    <t>Decod</t>
  </si>
  <si>
    <t>ExecR</t>
  </si>
  <si>
    <t>ConclR</t>
  </si>
  <si>
    <t>ConclBEQ</t>
  </si>
  <si>
    <t>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</si>
</sst>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9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topLeftCell="A13" workbookViewId="0">
      <selection activeCell="F23" sqref="F23"/>
    </sheetView>
  </sheetViews>
  <sheetFormatPr defaultColWidth="9" defaultRowHeight="14.4"/>
  <cols>
    <col min="1" max="1" width="22" customWidth="1"/>
    <col min="2" max="11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>
        <v>1</v>
      </c>
      <c r="D2" s="2">
        <v>0</v>
      </c>
      <c r="E2" s="2">
        <v>0</v>
      </c>
      <c r="F2" s="2">
        <v>1</v>
      </c>
      <c r="G2" s="2">
        <v>1</v>
      </c>
      <c r="H2" s="2">
        <v>0</v>
      </c>
      <c r="I2" s="2">
        <v>0</v>
      </c>
      <c r="J2" s="2" t="s">
        <v>13</v>
      </c>
      <c r="K2" s="2" t="s">
        <v>14</v>
      </c>
    </row>
    <row r="3" spans="1:11">
      <c r="A3" s="2" t="s">
        <v>15</v>
      </c>
      <c r="B3" s="2" t="s">
        <v>16</v>
      </c>
      <c r="C3" s="2">
        <v>0</v>
      </c>
      <c r="D3" s="2">
        <v>0</v>
      </c>
      <c r="E3" s="2" t="s">
        <v>17</v>
      </c>
      <c r="F3" s="2">
        <v>0</v>
      </c>
      <c r="G3" s="2">
        <v>0</v>
      </c>
      <c r="H3" s="2">
        <v>0</v>
      </c>
      <c r="I3" s="2">
        <v>0</v>
      </c>
      <c r="J3" s="2" t="s">
        <v>18</v>
      </c>
      <c r="K3" s="2" t="s">
        <v>14</v>
      </c>
    </row>
    <row r="4" spans="1:11">
      <c r="A4" s="2" t="s">
        <v>19</v>
      </c>
      <c r="B4" s="2" t="s">
        <v>20</v>
      </c>
      <c r="C4" s="2">
        <v>0</v>
      </c>
      <c r="D4" s="2">
        <v>0</v>
      </c>
      <c r="E4" s="2" t="s">
        <v>17</v>
      </c>
      <c r="F4" s="2">
        <v>0</v>
      </c>
      <c r="G4" s="2">
        <v>0</v>
      </c>
      <c r="H4" s="2">
        <v>0</v>
      </c>
      <c r="I4" s="2">
        <v>1</v>
      </c>
      <c r="J4" s="2" t="s">
        <v>14</v>
      </c>
      <c r="K4" s="2" t="s">
        <v>18</v>
      </c>
    </row>
    <row r="5" spans="1:11">
      <c r="A5" s="2" t="s">
        <v>21</v>
      </c>
      <c r="B5" s="2" t="s">
        <v>22</v>
      </c>
      <c r="C5" s="2">
        <v>0</v>
      </c>
      <c r="D5" s="2">
        <v>0</v>
      </c>
      <c r="E5" s="2" t="s">
        <v>17</v>
      </c>
      <c r="F5" s="2">
        <v>0</v>
      </c>
      <c r="G5" s="2">
        <v>0</v>
      </c>
      <c r="H5" s="2">
        <v>1</v>
      </c>
      <c r="I5" s="2" t="s">
        <v>17</v>
      </c>
      <c r="J5" s="2" t="s">
        <v>23</v>
      </c>
      <c r="K5" s="2" t="s">
        <v>23</v>
      </c>
    </row>
    <row r="6" spans="1:11">
      <c r="A6" s="2" t="s">
        <v>24</v>
      </c>
      <c r="B6" s="2" t="s">
        <v>25</v>
      </c>
      <c r="C6" s="2">
        <v>0</v>
      </c>
      <c r="D6" s="2">
        <v>1</v>
      </c>
      <c r="E6" s="2">
        <v>1</v>
      </c>
      <c r="F6" s="2">
        <v>0</v>
      </c>
      <c r="G6" s="2">
        <v>0</v>
      </c>
      <c r="H6" s="2">
        <v>0</v>
      </c>
      <c r="I6" s="2">
        <v>1</v>
      </c>
      <c r="J6" s="2" t="s">
        <v>14</v>
      </c>
      <c r="K6" s="2" t="s">
        <v>13</v>
      </c>
    </row>
    <row r="8" spans="1:11">
      <c r="A8" s="3" t="s">
        <v>26</v>
      </c>
    </row>
    <row r="9" spans="1:11">
      <c r="A9" s="4" t="s">
        <v>27</v>
      </c>
      <c r="B9" s="4"/>
      <c r="C9" s="4"/>
      <c r="D9" s="4"/>
      <c r="E9" s="4"/>
      <c r="F9" s="4"/>
      <c r="G9" s="4"/>
      <c r="H9" s="4"/>
      <c r="I9" s="5"/>
      <c r="J9" s="5"/>
      <c r="K9" s="5"/>
    </row>
    <row r="10" spans="1:11">
      <c r="A10" s="4" t="s">
        <v>28</v>
      </c>
      <c r="B10" s="4"/>
      <c r="C10" s="4"/>
      <c r="D10" s="4"/>
      <c r="E10" s="4"/>
      <c r="F10" s="4"/>
      <c r="G10" s="4"/>
      <c r="H10" s="4"/>
    </row>
    <row r="12" spans="1:11">
      <c r="A12" s="3" t="s">
        <v>29</v>
      </c>
    </row>
    <row r="13" spans="1:11">
      <c r="A13" s="1" t="s">
        <v>30</v>
      </c>
      <c r="B13" s="1" t="s">
        <v>31</v>
      </c>
      <c r="C13" s="1" t="s">
        <v>32</v>
      </c>
      <c r="D13" s="1" t="s">
        <v>33</v>
      </c>
    </row>
    <row r="14" spans="1:11">
      <c r="A14" t="s">
        <v>34</v>
      </c>
      <c r="B14" s="6">
        <v>0.7</v>
      </c>
      <c r="C14">
        <v>4</v>
      </c>
      <c r="D14">
        <f>B14*C14</f>
        <v>2.8</v>
      </c>
    </row>
    <row r="15" spans="1:11">
      <c r="A15" t="s">
        <v>35</v>
      </c>
      <c r="B15" s="6">
        <v>0.3</v>
      </c>
      <c r="C15">
        <v>3</v>
      </c>
      <c r="D15">
        <f>B15*C15</f>
        <v>0.9</v>
      </c>
    </row>
    <row r="16" spans="1:11">
      <c r="A16" s="3" t="s">
        <v>36</v>
      </c>
      <c r="D16">
        <f>D14+D15</f>
        <v>3.7</v>
      </c>
    </row>
  </sheetData>
  <mergeCells count="2">
    <mergeCell ref="A9:H9"/>
    <mergeCell ref="A10:H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E20" sqref="E20"/>
    </sheetView>
  </sheetViews>
  <sheetFormatPr defaultColWidth="9" defaultRowHeight="14.4" outlineLevelRow="5" outlineLevelCol="7"/>
  <cols>
    <col min="1" max="8" width="13" customWidth="1"/>
  </cols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 t="s">
        <v>45</v>
      </c>
      <c r="B2">
        <v>0</v>
      </c>
      <c r="C2" s="7" t="s">
        <v>14</v>
      </c>
      <c r="D2" t="s">
        <v>14</v>
      </c>
      <c r="E2" t="s">
        <v>13</v>
      </c>
      <c r="F2" t="s">
        <v>14</v>
      </c>
      <c r="G2" t="str">
        <f>C2&amp;D2&amp;E2&amp;F2</f>
        <v>00000100</v>
      </c>
      <c r="H2" t="str">
        <f>"0x"&amp;DEC2HEX(BIN2DEC(G2),2)</f>
        <v>0x04</v>
      </c>
    </row>
    <row r="3" spans="1:8">
      <c r="A3" t="s">
        <v>46</v>
      </c>
      <c r="B3">
        <v>1</v>
      </c>
      <c r="C3" t="s">
        <v>14</v>
      </c>
      <c r="D3" t="s">
        <v>18</v>
      </c>
      <c r="E3" t="s">
        <v>14</v>
      </c>
      <c r="F3" t="s">
        <v>18</v>
      </c>
      <c r="G3" t="str">
        <f>C3&amp;D3&amp;E3&amp;F3</f>
        <v>00100010</v>
      </c>
      <c r="H3" t="str">
        <f>"0x"&amp;DEC2HEX(BIN2DEC(G3),2)</f>
        <v>0x22</v>
      </c>
    </row>
    <row r="4" spans="1:8">
      <c r="A4" t="s">
        <v>47</v>
      </c>
      <c r="B4">
        <v>2</v>
      </c>
      <c r="C4" t="s">
        <v>18</v>
      </c>
      <c r="D4" t="s">
        <v>13</v>
      </c>
      <c r="E4" t="s">
        <v>14</v>
      </c>
      <c r="F4" t="s">
        <v>14</v>
      </c>
      <c r="G4" t="str">
        <f>C4&amp;D4&amp;E4&amp;F4</f>
        <v>10010000</v>
      </c>
      <c r="H4" t="str">
        <f>"0x"&amp;DEC2HEX(BIN2DEC(G4),2)</f>
        <v>0x90</v>
      </c>
    </row>
    <row r="5" spans="1:8">
      <c r="A5" t="s">
        <v>48</v>
      </c>
      <c r="B5">
        <v>3</v>
      </c>
      <c r="C5" t="s">
        <v>18</v>
      </c>
      <c r="D5" t="s">
        <v>13</v>
      </c>
      <c r="E5" t="s">
        <v>18</v>
      </c>
      <c r="F5" t="s">
        <v>13</v>
      </c>
      <c r="G5" t="str">
        <f>C5&amp;D5&amp;E5&amp;F5</f>
        <v>10011001</v>
      </c>
      <c r="H5" t="str">
        <f>"0x"&amp;DEC2HEX(BIN2DEC(G5),2)</f>
        <v>0x99</v>
      </c>
    </row>
    <row r="6" spans="1:8">
      <c r="A6" t="s">
        <v>49</v>
      </c>
      <c r="B6">
        <v>4</v>
      </c>
      <c r="C6" t="s">
        <v>13</v>
      </c>
      <c r="D6" t="s">
        <v>13</v>
      </c>
      <c r="E6" t="s">
        <v>50</v>
      </c>
      <c r="F6" t="s">
        <v>13</v>
      </c>
      <c r="G6" t="str">
        <f>C6&amp;D6&amp;E6&amp;F6</f>
        <v>01011101</v>
      </c>
      <c r="H6" t="str">
        <f>"0x"&amp;DEC2HEX(BIN2DEC(G6),2)</f>
        <v>0x5D</v>
      </c>
    </row>
  </sheetData>
  <pageMargins left="0.75" right="0.75" top="1" bottom="1" header="0.5" footer="0.5"/>
  <headerFooter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tabela_tempo</vt:lpstr>
      <vt:lpstr>microprograma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Acadêmico</cp:lastModifiedBy>
  <dcterms:created xsi:type="dcterms:W3CDTF">2026-09-27T05:21:00Z</dcterms:created>
  <dcterms:modified xsi:type="dcterms:W3CDTF">2026-10-08T06:25:51Z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8A4C8FF2FA5C475E8FE7919D8DD10557_12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